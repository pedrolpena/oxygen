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tlin.Reisa\Documents\oxygen\calculations\"/>
    </mc:Choice>
  </mc:AlternateContent>
  <xr:revisionPtr revIDLastSave="0" documentId="13_ncr:1_{CE85784F-377B-4123-B116-403F8D4FD49C}" xr6:coauthVersionLast="47" xr6:coauthVersionMax="47" xr10:uidLastSave="{00000000-0000-0000-0000-000000000000}"/>
  <bookViews>
    <workbookView xWindow="28680" yWindow="-120" windowWidth="29040" windowHeight="15840" firstSheet="1" activeTab="2" xr2:uid="{661BDADF-6CB1-4D01-B70D-8C1FCEFEC0BA}"/>
  </bookViews>
  <sheets>
    <sheet name="example_of_oxygen_calucations " sheetId="1" r:id="rId1"/>
    <sheet name="main_tab " sheetId="2" r:id="rId2"/>
    <sheet name="configuration_ta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W4" i="1"/>
  <c r="X5" i="1"/>
  <c r="X6" i="1"/>
  <c r="X7" i="1"/>
  <c r="X8" i="1"/>
  <c r="X9" i="1"/>
  <c r="X10" i="1"/>
  <c r="X11" i="1"/>
  <c r="X12" i="1"/>
  <c r="X13" i="1"/>
  <c r="X14" i="1"/>
  <c r="X15" i="1"/>
  <c r="X16" i="1"/>
  <c r="X4" i="1"/>
  <c r="W5" i="1"/>
  <c r="W6" i="1"/>
  <c r="W7" i="1"/>
  <c r="W8" i="1"/>
  <c r="W9" i="1"/>
  <c r="W10" i="1"/>
  <c r="W11" i="1"/>
  <c r="W12" i="1"/>
  <c r="W13" i="1"/>
  <c r="W14" i="1"/>
  <c r="W15" i="1"/>
  <c r="W16" i="1"/>
  <c r="T5" i="1"/>
  <c r="T6" i="1"/>
  <c r="T7" i="1"/>
  <c r="T8" i="1"/>
  <c r="T9" i="1"/>
  <c r="T10" i="1"/>
  <c r="T11" i="1"/>
  <c r="T12" i="1"/>
  <c r="T13" i="1"/>
  <c r="T14" i="1"/>
  <c r="T15" i="1"/>
  <c r="T16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4" i="1"/>
  <c r="O5" i="1"/>
  <c r="O6" i="1"/>
  <c r="O7" i="1"/>
  <c r="O8" i="1"/>
  <c r="O9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H5" i="1"/>
  <c r="H6" i="1"/>
  <c r="H7" i="1"/>
  <c r="H8" i="1"/>
  <c r="H9" i="1"/>
  <c r="H10" i="1"/>
  <c r="H11" i="1"/>
  <c r="H12" i="1"/>
  <c r="H13" i="1"/>
  <c r="H14" i="1"/>
  <c r="H15" i="1"/>
  <c r="H16" i="1"/>
  <c r="H4" i="1"/>
</calcChain>
</file>

<file path=xl/sharedStrings.xml><?xml version="1.0" encoding="utf-8"?>
<sst xmlns="http://schemas.openxmlformats.org/spreadsheetml/2006/main" count="220" uniqueCount="157">
  <si>
    <r>
      <t>CTD/Rosette</t>
    </r>
    <r>
      <rPr>
        <b/>
        <i/>
        <sz val="10"/>
        <color theme="1"/>
        <rFont val="Arial"/>
        <family val="2"/>
      </rPr>
      <t>#</t>
    </r>
  </si>
  <si>
    <t>Cast</t>
  </si>
  <si>
    <t>Niskin</t>
  </si>
  <si>
    <t>Bottle #</t>
  </si>
  <si>
    <t>Run Date</t>
  </si>
  <si>
    <t>Sample Date</t>
  </si>
  <si>
    <t>tL, C</t>
  </si>
  <si>
    <r>
      <t>r</t>
    </r>
    <r>
      <rPr>
        <b/>
        <sz val="10"/>
        <color theme="1"/>
        <rFont val="Arial"/>
        <family val="2"/>
      </rPr>
      <t>(tL)</t>
    </r>
  </si>
  <si>
    <t>EP, uL</t>
  </si>
  <si>
    <t>VIO3</t>
  </si>
  <si>
    <t>VIO3(tL)</t>
  </si>
  <si>
    <t>NKIO3</t>
  </si>
  <si>
    <t>Std, uL</t>
  </si>
  <si>
    <t>M(thio)</t>
  </si>
  <si>
    <t>Mthio_20C</t>
  </si>
  <si>
    <t>Blk, uL</t>
  </si>
  <si>
    <t>Vreg, mL</t>
  </si>
  <si>
    <t>Vbot 20C</t>
  </si>
  <si>
    <t>VBot(tS), mL</t>
  </si>
  <si>
    <t>O2, uM</t>
  </si>
  <si>
    <t>tS, C</t>
  </si>
  <si>
    <t>Sal</t>
  </si>
  <si>
    <r>
      <t>r</t>
    </r>
    <r>
      <rPr>
        <b/>
        <sz val="10"/>
        <color theme="1"/>
        <rFont val="Arial"/>
        <family val="2"/>
      </rPr>
      <t>SW</t>
    </r>
  </si>
  <si>
    <r>
      <t xml:space="preserve">O2, </t>
    </r>
    <r>
      <rPr>
        <b/>
        <sz val="10"/>
        <color theme="1"/>
        <rFont val="Symbol"/>
        <family val="1"/>
        <charset val="2"/>
      </rPr>
      <t>m</t>
    </r>
    <r>
      <rPr>
        <b/>
        <sz val="10"/>
        <color theme="1"/>
        <rFont val="Arial"/>
        <family val="2"/>
      </rPr>
      <t>mol kg-1</t>
    </r>
  </si>
  <si>
    <t>O2, ml/L</t>
  </si>
  <si>
    <t>mg/L</t>
  </si>
  <si>
    <t>TEMPLATE - NOT A13.5</t>
  </si>
  <si>
    <t>TEMPLATE - NOT A13.6</t>
  </si>
  <si>
    <t>TEMPLATE - NOT A13.7</t>
  </si>
  <si>
    <t>TEMPLATE - NOT A13.8</t>
  </si>
  <si>
    <t>TEMPLATE - NOT A13.9</t>
  </si>
  <si>
    <t>TEMPLATE - NOT A13.10</t>
  </si>
  <si>
    <t>Stn 005</t>
  </si>
  <si>
    <t>Stn 008</t>
  </si>
  <si>
    <t>Thio.tL</t>
  </si>
  <si>
    <t>Thio rho</t>
  </si>
  <si>
    <t>*EP*</t>
  </si>
  <si>
    <t>VKIO3</t>
  </si>
  <si>
    <t xml:space="preserve">STD </t>
  </si>
  <si>
    <t>M.Thio.tL</t>
  </si>
  <si>
    <t>M.Thio.20C</t>
  </si>
  <si>
    <t xml:space="preserve">Vreg  </t>
  </si>
  <si>
    <t>VBot</t>
  </si>
  <si>
    <t>Vbot.ts</t>
  </si>
  <si>
    <t>*O2.uM.l*</t>
  </si>
  <si>
    <t>Draw T</t>
  </si>
  <si>
    <t>SW rho</t>
  </si>
  <si>
    <t>O2.uM.kg</t>
  </si>
  <si>
    <t>Abbreviation</t>
  </si>
  <si>
    <t>description</t>
  </si>
  <si>
    <t xml:space="preserve">calculation </t>
  </si>
  <si>
    <t>Cruise</t>
  </si>
  <si>
    <t>Station</t>
  </si>
  <si>
    <t>Depth</t>
  </si>
  <si>
    <t>Lat</t>
  </si>
  <si>
    <t>Lon</t>
  </si>
  <si>
    <t>Sample D</t>
  </si>
  <si>
    <t>Run D</t>
  </si>
  <si>
    <t>Vreg</t>
  </si>
  <si>
    <t>M. Thio. tL</t>
  </si>
  <si>
    <t>M. Thio. 20C</t>
  </si>
  <si>
    <t>STD</t>
  </si>
  <si>
    <t>Vbot</t>
  </si>
  <si>
    <t>Latitude</t>
  </si>
  <si>
    <t xml:space="preserve">Longitude </t>
  </si>
  <si>
    <t xml:space="preserve">Niskin </t>
  </si>
  <si>
    <t>Date sample was run</t>
  </si>
  <si>
    <t>Date sample was taken</t>
  </si>
  <si>
    <t>Endpoint</t>
  </si>
  <si>
    <t>Seawater density</t>
  </si>
  <si>
    <t>Thiosulfate density</t>
  </si>
  <si>
    <t>Molarity of thiosulfate at thiosulfate temperature</t>
  </si>
  <si>
    <t xml:space="preserve">Thiosulfate temperature </t>
  </si>
  <si>
    <t xml:space="preserve">Volume of the reagents </t>
  </si>
  <si>
    <t xml:space="preserve">Volume of KIO3 dispensed </t>
  </si>
  <si>
    <t>Normality of KIO3</t>
  </si>
  <si>
    <t>Volume of flask</t>
  </si>
  <si>
    <t xml:space="preserve">Volume of flask at draw temperature </t>
  </si>
  <si>
    <t xml:space="preserve">Draw temperature </t>
  </si>
  <si>
    <t xml:space="preserve">Oxygen </t>
  </si>
  <si>
    <t>Oxygen</t>
  </si>
  <si>
    <t>-</t>
  </si>
  <si>
    <t>m</t>
  </si>
  <si>
    <t>mm/dd/yy</t>
  </si>
  <si>
    <t>uL</t>
  </si>
  <si>
    <t>C</t>
  </si>
  <si>
    <t xml:space="preserve">mL </t>
  </si>
  <si>
    <t>ppt</t>
  </si>
  <si>
    <t>g/cm^3</t>
  </si>
  <si>
    <t>mol/uL</t>
  </si>
  <si>
    <t>uM/L</t>
  </si>
  <si>
    <t>uM/kg</t>
  </si>
  <si>
    <t xml:space="preserve">identifying acronym for cruise associated with samples </t>
  </si>
  <si>
    <t xml:space="preserve">niskin bottle number of sample </t>
  </si>
  <si>
    <t>cast number of sample</t>
  </si>
  <si>
    <t>station of sample</t>
  </si>
  <si>
    <t>depth of sample; often not entered</t>
  </si>
  <si>
    <t>latitude</t>
  </si>
  <si>
    <t>longitude</t>
  </si>
  <si>
    <t>Oxygen flask bottle number</t>
  </si>
  <si>
    <t xml:space="preserve">detailed description </t>
  </si>
  <si>
    <t>run during standardization of thiosulfate; value should be &lt;2 uL; may take more than two runs to get difference &lt;2 uL</t>
  </si>
  <si>
    <t>two reagents (manganous chloride and alkaline sodium hydroxide-sodium iodine solution) added during sampling; 1 mL each</t>
  </si>
  <si>
    <t xml:space="preserve">calculated by program using draw temperature and salinity of seawater </t>
  </si>
  <si>
    <t xml:space="preserve">calculated by program using thiosulfate temperature </t>
  </si>
  <si>
    <t>temperature of thiosulfate continuously measured using thermometer on outisde of thiosulfate bottle</t>
  </si>
  <si>
    <t xml:space="preserve">true volume dispensed when calibrating dispenser </t>
  </si>
  <si>
    <t>average of endpoints when standardizing thiosulfate; repeat process 3-4 times; calculate average ("good" averages are between 701 and 707) and standard deviation (&lt;1 or &lt;0.5)</t>
  </si>
  <si>
    <t xml:space="preserve">oxygen flask volume; refers to volume file uploaded to program </t>
  </si>
  <si>
    <t>blank endpoint - blank endpoint</t>
  </si>
  <si>
    <t xml:space="preserve">reagent #1 volume + reagent #2 volume </t>
  </si>
  <si>
    <t>(999.842594 + 0.06793952*(Draw T) - 0.00909529*(Draw T)^2 + 0.0001001685*(Draw T)^3 - 0.000001120083*(Draw T)^4 + 0.000000006536332*(Draw T)^5 + (0.824493-0.0040899*(Draw T) + 0.000076438*(Draw T)^2 - 0.00000082467*(Draw T)^3 + 0.0000000053875*(Draw T)^4)*(Sal) + (-0.00572466 + 0.00010227*(Draw T) - 0.0000016546*(Draw T)^2)*(Sal)^1.5 + 0.00048314*(Sal)^2)*0.001</t>
  </si>
  <si>
    <t>0.999842594 + 0.00006793952*(Thio.tL) - 0.00000909529*(Thio.tL)^2 + 0.0000001001685*(Thio.tL)^3 - 0.000000001120083*(Thio.tL)^4 + 0.000000000006536332*(Thio.tL)^5</t>
  </si>
  <si>
    <t>1000*(VKIO3)*(NKIO3)/(STD - Blk)</t>
  </si>
  <si>
    <t>(M. Thio.tL)*(Thio rho)/0.99821</t>
  </si>
  <si>
    <t>(VBot)*(1 + 0.00001*((Draw T) - 20))</t>
  </si>
  <si>
    <t>1000000000*(0.00000025*(((*EP*) – (Blk))*(M.Thio.tL)) - 0.000000076)/((Vbot.ts) – (Vreg))</t>
  </si>
  <si>
    <t>(*O2.uM.l)/(SW rho)</t>
  </si>
  <si>
    <t xml:space="preserve">unit </t>
  </si>
  <si>
    <t>uLperst</t>
  </si>
  <si>
    <t>uLoffset</t>
  </si>
  <si>
    <t>slope</t>
  </si>
  <si>
    <t>speed</t>
  </si>
  <si>
    <t>wait</t>
  </si>
  <si>
    <t>Date</t>
  </si>
  <si>
    <t>Time</t>
  </si>
  <si>
    <t>unitless number between 0 and 1</t>
  </si>
  <si>
    <t>uL/uA</t>
  </si>
  <si>
    <t xml:space="preserve">calculated by program; amount of thiosulfate added to sample </t>
  </si>
  <si>
    <t>calculated by program; Oxygen</t>
  </si>
  <si>
    <t>microliter of titrant dispensed from burette per step; comes from burette calibration</t>
  </si>
  <si>
    <t xml:space="preserve">uL </t>
  </si>
  <si>
    <t>temperature recorded when transfer of seawater from niskin bottle to oxygen flask; used to calculate density; during runs, can keep at a constant of 6.5 on WBTS and North cruises</t>
  </si>
  <si>
    <t>CTD sensors record the salinity of each sample when niskin bottle is fired; used to calculate density (need for converting oxygen values to micromole/kg); during runs, can keep at a constant of 34.91 on WBTS and North cruises</t>
  </si>
  <si>
    <t>amount of time between additions of thiosulfate dispensed (800 milliseconds = 0.8 seconds)</t>
  </si>
  <si>
    <t>Configure serial port</t>
  </si>
  <si>
    <t>need a valid serial port; standard communication parameter to communicate with box; serial port, baud rate, data bits, partiy, stop bits, flow control</t>
  </si>
  <si>
    <t>ms</t>
  </si>
  <si>
    <t xml:space="preserve"> - </t>
  </si>
  <si>
    <t>n-factor*Molarity</t>
  </si>
  <si>
    <t xml:space="preserve">N </t>
  </si>
  <si>
    <t xml:space="preserve">microliter of titrant microliter; comes from burette calibration; is zero for all burettes moving forward </t>
  </si>
  <si>
    <t>0.4 - 0.8 at the discretion of analyst; each time the titrator computes how much titrant to add to reach the end point and then adds 60% of that to ensure that it approaches the endpoint quickly but does not overshoot it; refer to pg. 14 of Oxygen Autotitrator Manual</t>
  </si>
  <si>
    <t>determines how much titrant to add; depends on the concentration of the thiosulfate and the volume of the bottle; refer to pg. 14 of Oxygen Autotitrator Manual; normally 3.0 or 4.0</t>
  </si>
  <si>
    <t>calculated by program; molarity of thiosulfate at thiosulfate temperature; should be around 0.14</t>
  </si>
  <si>
    <t>calculated by program; molarity of Thiosulfate at standard temperature; 0.99821 is the density of freshwater at 20 degrees Celsius</t>
  </si>
  <si>
    <t>calculated by program; oxygen flask volume at draw temperature; 0.000001 is the thermal expansion of Pyrex glass</t>
  </si>
  <si>
    <t xml:space="preserve">calculated by program; Oxygen; 1000000000 is conversion from M to uM; 0.00000025 stiochiometry (4 to 1 ratio); 0.000000076 is taking into account the oxygen reagents </t>
  </si>
  <si>
    <t>date sample was taken</t>
  </si>
  <si>
    <t>date sample was run</t>
  </si>
  <si>
    <t>normality of KIO3 standard; should be 0.01; often displayed on standard bottles</t>
  </si>
  <si>
    <t>oxygen flask number of sample (associated with flask volume)</t>
  </si>
  <si>
    <t xml:space="preserve">Standard average </t>
  </si>
  <si>
    <t xml:space="preserve">Difference of the blank endpoint numbers </t>
  </si>
  <si>
    <t xml:space="preserve">Salinity </t>
  </si>
  <si>
    <t>Molarity of thiosulfate at standard temperature</t>
  </si>
  <si>
    <t xml:space="preserve">time sample was run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</si>
</sst>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Noto Sans Symbols"/>
    </font>
    <font>
      <b/>
      <sz val="10"/>
      <color theme="1"/>
      <name val="Symbol"/>
      <family val="1"/>
      <charset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0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2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wrapText="1"/>
    </xf>
    <xf numFmtId="0" fontId="0" fillId="0" borderId="0" xfId="0" applyFill="1"/>
    <xf numFmtId="0" fontId="0" fillId="0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AB2F-88F8-4D5D-A3B9-2D511F0821D3}">
  <dimension ref="A1:Z16"/>
  <sheetViews>
    <sheetView topLeftCell="B1" workbookViewId="0">
      <selection activeCell="L4" sqref="L4"/>
    </sheetView>
  </sheetViews>
  <sheetFormatPr defaultRowHeight="15"/>
  <cols>
    <col min="8" max="8" width="11.5703125" bestFit="1" customWidth="1"/>
    <col min="14" max="15" width="11.5703125" bestFit="1" customWidth="1"/>
    <col min="19" max="20" width="11.5703125" bestFit="1" customWidth="1"/>
    <col min="23" max="24" width="11.5703125" bestFit="1" customWidth="1"/>
  </cols>
  <sheetData>
    <row r="1" spans="1:26" ht="15.75" thickBot="1"/>
    <row r="2" spans="1:26" ht="15.75" thickBot="1">
      <c r="A2" s="1"/>
      <c r="B2" s="1"/>
      <c r="C2" s="1"/>
      <c r="D2" s="1"/>
      <c r="E2" s="1"/>
      <c r="F2" s="1"/>
      <c r="G2" s="20" t="s">
        <v>34</v>
      </c>
      <c r="H2" s="20" t="s">
        <v>35</v>
      </c>
      <c r="I2" s="20" t="s">
        <v>36</v>
      </c>
      <c r="J2" s="20" t="s">
        <v>37</v>
      </c>
      <c r="K2" s="20"/>
      <c r="L2" s="20" t="s">
        <v>11</v>
      </c>
      <c r="M2" s="20" t="s">
        <v>38</v>
      </c>
      <c r="N2" s="20" t="s">
        <v>39</v>
      </c>
      <c r="O2" s="20" t="s">
        <v>40</v>
      </c>
      <c r="P2" s="20" t="s">
        <v>15</v>
      </c>
      <c r="Q2" s="20" t="s">
        <v>41</v>
      </c>
      <c r="R2" s="20" t="s">
        <v>42</v>
      </c>
      <c r="S2" s="20" t="s">
        <v>43</v>
      </c>
      <c r="T2" s="20" t="s">
        <v>44</v>
      </c>
      <c r="U2" s="20" t="s">
        <v>45</v>
      </c>
      <c r="V2" s="2" t="s">
        <v>21</v>
      </c>
      <c r="W2" s="1" t="s">
        <v>46</v>
      </c>
      <c r="X2" s="1" t="s">
        <v>47</v>
      </c>
      <c r="Y2" s="1"/>
      <c r="Z2" s="1"/>
    </row>
    <row r="3" spans="1:26" ht="27" thickBot="1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6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4" t="s">
        <v>13</v>
      </c>
      <c r="O3" s="4" t="s">
        <v>14</v>
      </c>
      <c r="P3" s="5" t="s">
        <v>15</v>
      </c>
      <c r="Q3" s="5" t="s">
        <v>16</v>
      </c>
      <c r="R3" s="5" t="s">
        <v>17</v>
      </c>
      <c r="S3" s="4" t="s">
        <v>18</v>
      </c>
      <c r="T3" s="4" t="s">
        <v>19</v>
      </c>
      <c r="U3" s="5" t="s">
        <v>20</v>
      </c>
      <c r="V3" s="5" t="s">
        <v>21</v>
      </c>
      <c r="W3" s="7" t="s">
        <v>22</v>
      </c>
      <c r="X3" s="4" t="s">
        <v>23</v>
      </c>
      <c r="Y3" s="4" t="s">
        <v>24</v>
      </c>
      <c r="Z3" s="8" t="s">
        <v>25</v>
      </c>
    </row>
    <row r="4" spans="1:26" ht="39.75" thickBot="1">
      <c r="A4" s="8" t="s">
        <v>26</v>
      </c>
      <c r="B4" s="8">
        <v>1</v>
      </c>
      <c r="C4" s="8">
        <v>15</v>
      </c>
      <c r="D4" s="8">
        <v>72</v>
      </c>
      <c r="E4" s="9">
        <v>40285</v>
      </c>
      <c r="F4" s="1"/>
      <c r="G4" s="10">
        <v>22</v>
      </c>
      <c r="H4" s="12">
        <f>0.999842594+0.00006793952*G4-0.00000909529*G4^2+0.0000001001685*G4^3-0.000000001120083*G4^4+0.000000000006536332*G4^5</f>
        <v>0.99777303695450981</v>
      </c>
      <c r="I4" s="10">
        <v>836.28</v>
      </c>
      <c r="J4" s="10">
        <v>10</v>
      </c>
      <c r="K4" s="2"/>
      <c r="L4" s="10">
        <v>0.01</v>
      </c>
      <c r="M4" s="10">
        <v>691.2</v>
      </c>
      <c r="N4" s="12">
        <f>1000*J4*L4/(M4-P4)</f>
        <v>0.14499057561258516</v>
      </c>
      <c r="O4" s="12">
        <f t="shared" ref="O4:O9" si="0">N4*H4/0.99821</f>
        <v>0.14492710647934959</v>
      </c>
      <c r="P4" s="10">
        <v>1.5</v>
      </c>
      <c r="Q4" s="10">
        <v>2</v>
      </c>
      <c r="R4" s="10">
        <v>146.261</v>
      </c>
      <c r="S4" s="13">
        <f>R4*(1+0.00001*(U4-20))</f>
        <v>146.24725146599999</v>
      </c>
      <c r="T4" s="13">
        <f>1000000000*(0.00000025*((I4-P4)*N4)-0.000000076)/(S4-Q4)</f>
        <v>209.2435583397077</v>
      </c>
      <c r="U4" s="10">
        <v>10.6</v>
      </c>
      <c r="V4" s="10">
        <v>34.738999999999997</v>
      </c>
      <c r="W4" s="8">
        <f>(999.842594+0.06793952*U4-0.00909529*U4^2+0.0001001685*U4^3-0.000001120083*U4^4+0.000000006536332*U4^5+(0.824493-0.0040899*U4+0.000076438*U4^2-0.00000082467*U4^3+0.0000000053875*U4^4)*V4+(-0.00572466+0.00010227*U4-0.0000016546*U4^2)*V4^1.5+0.00048314*V4^2)*0.001</f>
        <v>1.026644287737924</v>
      </c>
      <c r="X4" s="8">
        <f>T4/W4</f>
        <v>203.81310336879039</v>
      </c>
      <c r="Y4" s="1"/>
      <c r="Z4" s="8"/>
    </row>
    <row r="5" spans="1:26" ht="15.75" thickBot="1">
      <c r="A5" s="11" t="s">
        <v>27</v>
      </c>
      <c r="B5" s="1"/>
      <c r="C5" s="1"/>
      <c r="D5" s="8">
        <v>71</v>
      </c>
      <c r="E5" s="1"/>
      <c r="F5" s="1"/>
      <c r="G5" s="10">
        <v>22</v>
      </c>
      <c r="H5" s="12">
        <f t="shared" ref="H5:H16" si="1">0.999842594+0.00006793952*G5-0.00000909529*G5^2+0.0000001001685*G5^3-0.000000001120083*G5^4+0.000000000006536332*G5^5</f>
        <v>0.99777303695450981</v>
      </c>
      <c r="I5" s="10">
        <v>840.39</v>
      </c>
      <c r="J5" s="10">
        <v>10</v>
      </c>
      <c r="K5" s="2"/>
      <c r="L5" s="10">
        <v>0.01</v>
      </c>
      <c r="M5" s="10">
        <v>691.2</v>
      </c>
      <c r="N5" s="12">
        <f t="shared" ref="N5:N16" si="2">1000*J5*L5/(M5-P5)</f>
        <v>0.14499057561258516</v>
      </c>
      <c r="O5" s="12">
        <f t="shared" si="0"/>
        <v>0.14492710647934959</v>
      </c>
      <c r="P5" s="10">
        <v>1.5</v>
      </c>
      <c r="Q5" s="10">
        <v>2</v>
      </c>
      <c r="R5" s="10">
        <v>143.13399999999999</v>
      </c>
      <c r="S5" s="13">
        <f t="shared" ref="S5:S16" si="3">R5*(1+0.00001*(U5-20))</f>
        <v>143.12827463999997</v>
      </c>
      <c r="T5" s="13">
        <f t="shared" ref="T5:T16" si="4">1000000000*(0.00000025*((I5-P5)*N5)-0.000000076)/(S5-Q5)</f>
        <v>214.92352309473679</v>
      </c>
      <c r="U5" s="10">
        <v>16</v>
      </c>
      <c r="V5" s="10">
        <v>34.587000000000003</v>
      </c>
      <c r="W5" s="8">
        <f t="shared" ref="W5:W16" si="5">(999.842594+0.06793952*U5-0.00909529*U5^2+0.0001001685*U5^3-0.000001120083*U5^4+0.000000006536332*U5^5+(0.824493-0.0040899*U5+0.000076438*U5^2-0.00000082467*U5^3+0.0000000053875*U5^4)*V5+(-0.00572466+0.00010227*U5-0.0000016546*U5^2)*V5^1.5+0.00048314*V5^2)*0.001</f>
        <v>1.0254307752280569</v>
      </c>
      <c r="X5" s="8">
        <f t="shared" ref="X5:X16" si="6">T5/W5</f>
        <v>209.59340043889122</v>
      </c>
      <c r="Y5" s="1"/>
      <c r="Z5" s="8"/>
    </row>
    <row r="6" spans="1:26" ht="15.75" thickBot="1">
      <c r="A6" s="11" t="s">
        <v>28</v>
      </c>
      <c r="B6" s="1"/>
      <c r="C6" s="1"/>
      <c r="D6" s="8">
        <v>76</v>
      </c>
      <c r="E6" s="1"/>
      <c r="F6" s="1"/>
      <c r="G6" s="10">
        <v>22</v>
      </c>
      <c r="H6" s="12">
        <f t="shared" si="1"/>
        <v>0.99777303695450981</v>
      </c>
      <c r="I6" s="10">
        <v>833.12</v>
      </c>
      <c r="J6" s="10">
        <v>10</v>
      </c>
      <c r="K6" s="2"/>
      <c r="L6" s="10">
        <v>0.01</v>
      </c>
      <c r="M6" s="10">
        <v>691.2</v>
      </c>
      <c r="N6" s="12">
        <f t="shared" si="2"/>
        <v>0.14499057561258516</v>
      </c>
      <c r="O6" s="12">
        <f t="shared" si="0"/>
        <v>0.14492710647934959</v>
      </c>
      <c r="P6" s="10">
        <v>1.5</v>
      </c>
      <c r="Q6" s="10">
        <v>2</v>
      </c>
      <c r="R6" s="10">
        <v>144.66300000000001</v>
      </c>
      <c r="S6" s="13">
        <f t="shared" si="3"/>
        <v>144.63406740000002</v>
      </c>
      <c r="T6" s="13">
        <f t="shared" si="4"/>
        <v>210.80704049763716</v>
      </c>
      <c r="U6" s="2"/>
      <c r="V6" s="2"/>
      <c r="W6" s="8">
        <f t="shared" si="5"/>
        <v>0.99984259399999997</v>
      </c>
      <c r="X6" s="8">
        <f t="shared" si="6"/>
        <v>210.84022801456803</v>
      </c>
      <c r="Y6" s="1"/>
      <c r="Z6" s="8"/>
    </row>
    <row r="7" spans="1:26" ht="15.75" thickBot="1">
      <c r="A7" s="11" t="s">
        <v>29</v>
      </c>
      <c r="B7" s="1"/>
      <c r="C7" s="1"/>
      <c r="D7" s="8">
        <v>69</v>
      </c>
      <c r="E7" s="1"/>
      <c r="F7" s="1"/>
      <c r="G7" s="10">
        <v>22</v>
      </c>
      <c r="H7" s="12">
        <f t="shared" si="1"/>
        <v>0.99777303695450981</v>
      </c>
      <c r="I7" s="10">
        <v>833.57</v>
      </c>
      <c r="J7" s="10">
        <v>10</v>
      </c>
      <c r="K7" s="2"/>
      <c r="L7" s="10">
        <v>0.01</v>
      </c>
      <c r="M7" s="10">
        <v>691.2</v>
      </c>
      <c r="N7" s="12">
        <f t="shared" si="2"/>
        <v>0.14499057561258516</v>
      </c>
      <c r="O7" s="12">
        <f t="shared" si="0"/>
        <v>0.14492710647934959</v>
      </c>
      <c r="P7" s="10">
        <v>1.5</v>
      </c>
      <c r="Q7" s="10">
        <v>2</v>
      </c>
      <c r="R7" s="10">
        <v>141.17699999999999</v>
      </c>
      <c r="S7" s="13">
        <f t="shared" si="3"/>
        <v>141.14876459999999</v>
      </c>
      <c r="T7" s="13">
        <f t="shared" si="4"/>
        <v>216.20441366456038</v>
      </c>
      <c r="U7" s="2"/>
      <c r="V7" s="2"/>
      <c r="W7" s="8">
        <f t="shared" si="5"/>
        <v>0.99984259399999997</v>
      </c>
      <c r="X7" s="8">
        <f t="shared" si="6"/>
        <v>216.23845089416184</v>
      </c>
      <c r="Y7" s="1"/>
      <c r="Z7" s="8"/>
    </row>
    <row r="8" spans="1:26" ht="15.75" thickBot="1">
      <c r="A8" s="11" t="s">
        <v>30</v>
      </c>
      <c r="B8" s="1"/>
      <c r="C8" s="1"/>
      <c r="D8" s="8">
        <v>75</v>
      </c>
      <c r="E8" s="1"/>
      <c r="F8" s="1"/>
      <c r="G8" s="10">
        <v>22</v>
      </c>
      <c r="H8" s="12">
        <f t="shared" si="1"/>
        <v>0.99777303695450981</v>
      </c>
      <c r="I8" s="10">
        <v>834.9</v>
      </c>
      <c r="J8" s="10">
        <v>10</v>
      </c>
      <c r="K8" s="2"/>
      <c r="L8" s="10">
        <v>0.01</v>
      </c>
      <c r="M8" s="10">
        <v>691.2</v>
      </c>
      <c r="N8" s="12">
        <f t="shared" si="2"/>
        <v>0.14499057561258516</v>
      </c>
      <c r="O8" s="12">
        <f t="shared" si="0"/>
        <v>0.14492710647934959</v>
      </c>
      <c r="P8" s="10">
        <v>1.5</v>
      </c>
      <c r="Q8" s="10">
        <v>2</v>
      </c>
      <c r="R8" s="10">
        <v>139.94399999999999</v>
      </c>
      <c r="S8" s="13">
        <f t="shared" si="3"/>
        <v>139.91601119999999</v>
      </c>
      <c r="T8" s="13">
        <f t="shared" si="4"/>
        <v>218.48649889667138</v>
      </c>
      <c r="U8" s="2"/>
      <c r="V8" s="2"/>
      <c r="W8" s="8">
        <f t="shared" si="5"/>
        <v>0.99984259399999997</v>
      </c>
      <c r="X8" s="8">
        <f t="shared" si="6"/>
        <v>218.52089539673221</v>
      </c>
      <c r="Y8" s="1"/>
      <c r="Z8" s="8"/>
    </row>
    <row r="9" spans="1:26" ht="15.75" thickBot="1">
      <c r="A9" s="11" t="s">
        <v>31</v>
      </c>
      <c r="B9" s="1"/>
      <c r="C9" s="1"/>
      <c r="D9" s="8">
        <v>80</v>
      </c>
      <c r="E9" s="1"/>
      <c r="F9" s="1"/>
      <c r="G9" s="10">
        <v>22</v>
      </c>
      <c r="H9" s="12">
        <f t="shared" si="1"/>
        <v>0.99777303695450981</v>
      </c>
      <c r="I9" s="10">
        <v>836.39</v>
      </c>
      <c r="J9" s="10">
        <v>10.023</v>
      </c>
      <c r="K9" s="2"/>
      <c r="L9" s="10">
        <v>0.01</v>
      </c>
      <c r="M9" s="10">
        <v>695</v>
      </c>
      <c r="N9" s="12">
        <f t="shared" si="2"/>
        <v>0.14457987738910927</v>
      </c>
      <c r="O9" s="12">
        <f t="shared" si="0"/>
        <v>0.14451658803762957</v>
      </c>
      <c r="P9" s="10">
        <v>1.75</v>
      </c>
      <c r="Q9" s="10">
        <v>2</v>
      </c>
      <c r="R9" s="10">
        <v>141.08099999999999</v>
      </c>
      <c r="S9" s="13">
        <f t="shared" si="3"/>
        <v>141.05278379999999</v>
      </c>
      <c r="T9" s="13">
        <f t="shared" si="4"/>
        <v>216.40729796026955</v>
      </c>
      <c r="U9" s="2"/>
      <c r="V9" s="2"/>
      <c r="W9" s="8">
        <f t="shared" si="5"/>
        <v>0.99984259399999997</v>
      </c>
      <c r="X9" s="8">
        <f t="shared" si="6"/>
        <v>216.44136713010403</v>
      </c>
      <c r="Y9" s="1"/>
      <c r="Z9" s="8"/>
    </row>
    <row r="10" spans="1:26" ht="15.75" thickBot="1">
      <c r="A10" s="8" t="s">
        <v>32</v>
      </c>
      <c r="B10" s="8">
        <v>1</v>
      </c>
      <c r="C10" s="8">
        <v>9</v>
      </c>
      <c r="D10" s="8">
        <v>10</v>
      </c>
      <c r="E10" s="9">
        <v>45333</v>
      </c>
      <c r="F10" s="9">
        <v>45333</v>
      </c>
      <c r="G10" s="10">
        <v>27.1</v>
      </c>
      <c r="H10" s="12">
        <f t="shared" si="1"/>
        <v>0.99648910092621024</v>
      </c>
      <c r="I10" s="10">
        <v>1005.17</v>
      </c>
      <c r="J10" s="10">
        <v>10.023</v>
      </c>
      <c r="K10" s="2"/>
      <c r="L10" s="10">
        <v>0.01</v>
      </c>
      <c r="M10" s="10">
        <v>703.6</v>
      </c>
      <c r="N10" s="12">
        <f t="shared" si="2"/>
        <v>0.14280829237016457</v>
      </c>
      <c r="O10" s="1"/>
      <c r="P10" s="10">
        <v>1.75</v>
      </c>
      <c r="Q10" s="10">
        <v>2</v>
      </c>
      <c r="R10" s="10">
        <v>145.321</v>
      </c>
      <c r="S10" s="13">
        <f t="shared" si="3"/>
        <v>145.301962949</v>
      </c>
      <c r="T10" s="13">
        <f t="shared" si="4"/>
        <v>249.46046409175923</v>
      </c>
      <c r="U10" s="10">
        <v>6.9</v>
      </c>
      <c r="V10" s="10">
        <v>34.9</v>
      </c>
      <c r="W10" s="8">
        <f t="shared" si="5"/>
        <v>1.0273541472469361</v>
      </c>
      <c r="X10" s="8">
        <f t="shared" si="6"/>
        <v>242.81837452085412</v>
      </c>
      <c r="Y10" s="1"/>
      <c r="Z10" s="1"/>
    </row>
    <row r="11" spans="1:26" ht="15.75" thickBot="1">
      <c r="A11" s="8" t="s">
        <v>32</v>
      </c>
      <c r="B11" s="8">
        <v>1</v>
      </c>
      <c r="C11" s="8">
        <v>24</v>
      </c>
      <c r="D11" s="8">
        <v>26</v>
      </c>
      <c r="E11" s="9">
        <v>45333</v>
      </c>
      <c r="F11" s="9">
        <v>45333</v>
      </c>
      <c r="G11" s="10">
        <v>27.5</v>
      </c>
      <c r="H11" s="12">
        <f t="shared" si="1"/>
        <v>0.99637801934723957</v>
      </c>
      <c r="I11" s="10">
        <v>813.15</v>
      </c>
      <c r="J11" s="10">
        <v>10.023</v>
      </c>
      <c r="K11" s="2"/>
      <c r="L11" s="10">
        <v>0.01</v>
      </c>
      <c r="M11" s="10">
        <v>703.6</v>
      </c>
      <c r="N11" s="12">
        <f t="shared" si="2"/>
        <v>0.14280829237016457</v>
      </c>
      <c r="O11" s="1"/>
      <c r="P11" s="10">
        <v>1.75</v>
      </c>
      <c r="Q11" s="10">
        <v>2</v>
      </c>
      <c r="R11" s="10">
        <v>142.33600000000001</v>
      </c>
      <c r="S11" s="13">
        <f t="shared" si="3"/>
        <v>142.34881024000001</v>
      </c>
      <c r="T11" s="13">
        <f t="shared" si="4"/>
        <v>205.86324927073269</v>
      </c>
      <c r="U11" s="10">
        <v>29</v>
      </c>
      <c r="V11" s="10">
        <v>34.4</v>
      </c>
      <c r="W11" s="8">
        <f t="shared" si="5"/>
        <v>1.0216159685126802</v>
      </c>
      <c r="X11" s="8">
        <f t="shared" si="6"/>
        <v>201.50747014109297</v>
      </c>
      <c r="Y11" s="1"/>
      <c r="Z11" s="1"/>
    </row>
    <row r="12" spans="1:26" ht="15.75" thickBot="1">
      <c r="A12" s="8" t="s">
        <v>32</v>
      </c>
      <c r="B12" s="8">
        <v>1</v>
      </c>
      <c r="C12" s="8">
        <v>1</v>
      </c>
      <c r="D12" s="8">
        <v>1</v>
      </c>
      <c r="E12" s="9">
        <v>45333</v>
      </c>
      <c r="F12" s="9">
        <v>45333</v>
      </c>
      <c r="G12" s="10">
        <v>26.9</v>
      </c>
      <c r="H12" s="12">
        <f t="shared" si="1"/>
        <v>0.99654409199874816</v>
      </c>
      <c r="I12" s="10">
        <v>948.39</v>
      </c>
      <c r="J12" s="10">
        <v>10.023</v>
      </c>
      <c r="K12" s="2"/>
      <c r="L12" s="10">
        <v>0.01</v>
      </c>
      <c r="M12" s="10">
        <v>703.6</v>
      </c>
      <c r="N12" s="12">
        <f t="shared" si="2"/>
        <v>0.14280829237016457</v>
      </c>
      <c r="O12" s="1"/>
      <c r="P12" s="10">
        <v>1.75</v>
      </c>
      <c r="Q12" s="10">
        <v>2</v>
      </c>
      <c r="R12" s="10">
        <v>138.21700000000001</v>
      </c>
      <c r="S12" s="13">
        <f t="shared" si="3"/>
        <v>138.19529993100002</v>
      </c>
      <c r="T12" s="13">
        <f t="shared" si="4"/>
        <v>247.59305562972486</v>
      </c>
      <c r="U12" s="10">
        <v>4.3</v>
      </c>
      <c r="V12" s="10">
        <v>34.799999999999997</v>
      </c>
      <c r="W12" s="8">
        <f t="shared" si="5"/>
        <v>1.0275953448158128</v>
      </c>
      <c r="X12" s="8">
        <f t="shared" si="6"/>
        <v>240.94411956887919</v>
      </c>
      <c r="Y12" s="1"/>
      <c r="Z12" s="1"/>
    </row>
    <row r="13" spans="1:26" ht="15.75" thickBot="1">
      <c r="A13" s="8" t="s">
        <v>33</v>
      </c>
      <c r="B13" s="8">
        <v>1</v>
      </c>
      <c r="C13" s="8">
        <v>23</v>
      </c>
      <c r="D13" s="8">
        <v>25</v>
      </c>
      <c r="E13" s="9">
        <v>45334</v>
      </c>
      <c r="F13" s="9">
        <v>45334</v>
      </c>
      <c r="G13" s="10">
        <v>26.6</v>
      </c>
      <c r="H13" s="12">
        <f t="shared" si="1"/>
        <v>0.99662588783971651</v>
      </c>
      <c r="I13" s="10">
        <v>647.59</v>
      </c>
      <c r="J13" s="10">
        <v>10.023</v>
      </c>
      <c r="K13" s="2"/>
      <c r="L13" s="10">
        <v>0.01</v>
      </c>
      <c r="M13" s="10">
        <v>703.6</v>
      </c>
      <c r="N13" s="12">
        <f t="shared" si="2"/>
        <v>0.14280829237016457</v>
      </c>
      <c r="O13" s="1"/>
      <c r="P13" s="10">
        <v>1.75</v>
      </c>
      <c r="Q13" s="10">
        <v>2</v>
      </c>
      <c r="R13" s="10">
        <v>143.44300000000001</v>
      </c>
      <c r="S13" s="13">
        <f t="shared" si="3"/>
        <v>143.44185245600002</v>
      </c>
      <c r="T13" s="13">
        <f t="shared" si="4"/>
        <v>162.48250773748879</v>
      </c>
      <c r="U13" s="10">
        <v>19.2</v>
      </c>
      <c r="V13" s="10">
        <v>35.799999999999997</v>
      </c>
      <c r="W13" s="8">
        <f t="shared" si="5"/>
        <v>1.0255825338999247</v>
      </c>
      <c r="X13" s="8">
        <f t="shared" si="6"/>
        <v>158.42948018978615</v>
      </c>
      <c r="Y13" s="1"/>
      <c r="Z13" s="1"/>
    </row>
    <row r="14" spans="1:26" ht="15.75" thickBot="1">
      <c r="A14" s="8">
        <v>2</v>
      </c>
      <c r="B14" s="8">
        <v>1</v>
      </c>
      <c r="C14" s="8">
        <v>1</v>
      </c>
      <c r="D14" s="8">
        <v>1</v>
      </c>
      <c r="E14" s="9">
        <v>45332</v>
      </c>
      <c r="F14" s="9">
        <v>45332</v>
      </c>
      <c r="G14" s="10">
        <v>26.6</v>
      </c>
      <c r="H14" s="12">
        <f t="shared" si="1"/>
        <v>0.99662588783971651</v>
      </c>
      <c r="I14" s="10">
        <v>941.22</v>
      </c>
      <c r="J14" s="10">
        <v>10.023</v>
      </c>
      <c r="K14" s="2"/>
      <c r="L14" s="10">
        <v>0.01</v>
      </c>
      <c r="M14" s="10">
        <v>703.6</v>
      </c>
      <c r="N14" s="12">
        <f t="shared" si="2"/>
        <v>0.14280829237016457</v>
      </c>
      <c r="O14" s="1"/>
      <c r="P14" s="10">
        <v>1.75</v>
      </c>
      <c r="Q14" s="10">
        <v>2</v>
      </c>
      <c r="R14" s="10">
        <v>138.21700000000001</v>
      </c>
      <c r="S14" s="13">
        <f t="shared" si="3"/>
        <v>138.19599101599999</v>
      </c>
      <c r="T14" s="13">
        <f t="shared" si="4"/>
        <v>245.71227360369394</v>
      </c>
      <c r="U14" s="10">
        <v>4.8</v>
      </c>
      <c r="V14" s="10">
        <v>34.842399999999998</v>
      </c>
      <c r="W14" s="8">
        <f t="shared" si="5"/>
        <v>1.027573519565657</v>
      </c>
      <c r="X14" s="8">
        <f t="shared" si="6"/>
        <v>239.11892329373529</v>
      </c>
      <c r="Y14" s="1"/>
      <c r="Z14" s="1"/>
    </row>
    <row r="15" spans="1:26" ht="15.75" thickBot="1">
      <c r="A15" s="8">
        <v>2</v>
      </c>
      <c r="B15" s="8">
        <v>1</v>
      </c>
      <c r="C15" s="8">
        <v>2</v>
      </c>
      <c r="D15" s="8">
        <v>2</v>
      </c>
      <c r="E15" s="9">
        <v>45332</v>
      </c>
      <c r="F15" s="9">
        <v>45332</v>
      </c>
      <c r="G15" s="10">
        <v>26.6</v>
      </c>
      <c r="H15" s="12">
        <f t="shared" si="1"/>
        <v>0.99662588783971651</v>
      </c>
      <c r="I15" s="10">
        <v>921.72</v>
      </c>
      <c r="J15" s="10">
        <v>10.023</v>
      </c>
      <c r="K15" s="2"/>
      <c r="L15" s="10">
        <v>0.01</v>
      </c>
      <c r="M15" s="10">
        <v>703.6</v>
      </c>
      <c r="N15" s="12">
        <f t="shared" si="2"/>
        <v>0.14280829237016457</v>
      </c>
      <c r="O15" s="1"/>
      <c r="P15" s="10">
        <v>1.75</v>
      </c>
      <c r="Q15" s="10">
        <v>2</v>
      </c>
      <c r="R15" s="10">
        <v>137.25700000000001</v>
      </c>
      <c r="S15" s="13">
        <f t="shared" si="3"/>
        <v>137.23627419300001</v>
      </c>
      <c r="T15" s="13">
        <f t="shared" si="4"/>
        <v>242.30803738484852</v>
      </c>
      <c r="U15" s="10">
        <v>4.9000000000000004</v>
      </c>
      <c r="V15" s="10">
        <v>34.855499999999999</v>
      </c>
      <c r="W15" s="8">
        <f t="shared" si="5"/>
        <v>1.0275724526391101</v>
      </c>
      <c r="X15" s="8">
        <f t="shared" si="6"/>
        <v>235.80627990029294</v>
      </c>
      <c r="Y15" s="1"/>
      <c r="Z15" s="1"/>
    </row>
    <row r="16" spans="1:26" ht="15.75" thickBot="1">
      <c r="A16" s="8">
        <v>2</v>
      </c>
      <c r="B16" s="8">
        <v>1</v>
      </c>
      <c r="C16" s="8">
        <v>3</v>
      </c>
      <c r="D16" s="8">
        <v>3</v>
      </c>
      <c r="E16" s="9">
        <v>45332</v>
      </c>
      <c r="F16" s="9">
        <v>45332</v>
      </c>
      <c r="G16" s="10">
        <v>26.6</v>
      </c>
      <c r="H16" s="12">
        <f t="shared" si="1"/>
        <v>0.99662588783971651</v>
      </c>
      <c r="I16" s="10">
        <v>1013.69</v>
      </c>
      <c r="J16" s="10">
        <v>10.023</v>
      </c>
      <c r="K16" s="2"/>
      <c r="L16" s="10">
        <v>0.01</v>
      </c>
      <c r="M16" s="10">
        <v>703.6</v>
      </c>
      <c r="N16" s="12">
        <f t="shared" si="2"/>
        <v>0.14280829237016457</v>
      </c>
      <c r="O16" s="1"/>
      <c r="P16" s="10">
        <v>1.75</v>
      </c>
      <c r="Q16" s="10">
        <v>2</v>
      </c>
      <c r="R16" s="10">
        <v>146.221</v>
      </c>
      <c r="S16" s="13">
        <f t="shared" si="3"/>
        <v>146.19906685000001</v>
      </c>
      <c r="T16" s="13">
        <f t="shared" si="4"/>
        <v>250.01795526713622</v>
      </c>
      <c r="U16" s="10">
        <v>5</v>
      </c>
      <c r="V16" s="10">
        <v>34.865200000000002</v>
      </c>
      <c r="W16" s="8">
        <f t="shared" si="5"/>
        <v>1.0275685656809754</v>
      </c>
      <c r="X16" s="8">
        <f t="shared" si="6"/>
        <v>243.31024090976149</v>
      </c>
      <c r="Y16" s="1"/>
      <c r="Z1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D4E5-0639-48B8-B39A-1764D018B73B}">
  <dimension ref="A1:G28"/>
  <sheetViews>
    <sheetView workbookViewId="0">
      <selection activeCell="E17" sqref="E17"/>
    </sheetView>
  </sheetViews>
  <sheetFormatPr defaultRowHeight="15"/>
  <cols>
    <col min="1" max="1" width="12.5703125" bestFit="1" customWidth="1"/>
    <col min="2" max="2" width="12.42578125" customWidth="1"/>
    <col min="3" max="3" width="6.28515625" customWidth="1"/>
    <col min="4" max="4" width="3.42578125" customWidth="1"/>
    <col min="5" max="5" width="37" bestFit="1" customWidth="1"/>
    <col min="6" max="6" width="10.85546875" bestFit="1" customWidth="1"/>
  </cols>
  <sheetData>
    <row r="1" spans="1:7">
      <c r="A1" t="s">
        <v>48</v>
      </c>
      <c r="B1" t="s">
        <v>49</v>
      </c>
      <c r="C1" t="s">
        <v>100</v>
      </c>
      <c r="D1" t="s">
        <v>118</v>
      </c>
      <c r="E1" t="s">
        <v>50</v>
      </c>
    </row>
    <row r="2" spans="1:7">
      <c r="A2" t="s">
        <v>51</v>
      </c>
      <c r="B2" t="s">
        <v>51</v>
      </c>
      <c r="C2" t="s">
        <v>92</v>
      </c>
      <c r="D2" s="14" t="s">
        <v>81</v>
      </c>
      <c r="E2" s="14" t="s">
        <v>81</v>
      </c>
    </row>
    <row r="3" spans="1:7">
      <c r="A3" t="s">
        <v>52</v>
      </c>
      <c r="B3" t="s">
        <v>52</v>
      </c>
      <c r="C3" t="s">
        <v>95</v>
      </c>
      <c r="D3" s="14" t="s">
        <v>81</v>
      </c>
      <c r="E3" s="14" t="s">
        <v>81</v>
      </c>
    </row>
    <row r="4" spans="1:7">
      <c r="A4" t="s">
        <v>1</v>
      </c>
      <c r="B4" t="s">
        <v>1</v>
      </c>
      <c r="C4" t="s">
        <v>94</v>
      </c>
      <c r="D4" s="14" t="s">
        <v>81</v>
      </c>
      <c r="E4" s="14" t="s">
        <v>81</v>
      </c>
    </row>
    <row r="5" spans="1:7">
      <c r="A5" t="s">
        <v>2</v>
      </c>
      <c r="B5" t="s">
        <v>65</v>
      </c>
      <c r="C5" t="s">
        <v>93</v>
      </c>
      <c r="D5" s="14" t="s">
        <v>81</v>
      </c>
      <c r="E5" s="14" t="s">
        <v>81</v>
      </c>
    </row>
    <row r="6" spans="1:7">
      <c r="A6" s="21" t="s">
        <v>53</v>
      </c>
      <c r="B6" t="s">
        <v>53</v>
      </c>
      <c r="C6" t="s">
        <v>96</v>
      </c>
      <c r="D6" s="22" t="s">
        <v>82</v>
      </c>
      <c r="E6" s="14" t="s">
        <v>81</v>
      </c>
      <c r="G6" s="18"/>
    </row>
    <row r="7" spans="1:7">
      <c r="A7" t="s">
        <v>54</v>
      </c>
      <c r="B7" t="s">
        <v>63</v>
      </c>
      <c r="C7" t="s">
        <v>97</v>
      </c>
      <c r="D7" s="14" t="s">
        <v>81</v>
      </c>
      <c r="E7" s="14" t="s">
        <v>81</v>
      </c>
    </row>
    <row r="8" spans="1:7">
      <c r="A8" t="s">
        <v>55</v>
      </c>
      <c r="B8" t="s">
        <v>64</v>
      </c>
      <c r="C8" t="s">
        <v>98</v>
      </c>
      <c r="D8" s="14" t="s">
        <v>81</v>
      </c>
      <c r="E8" s="14" t="s">
        <v>81</v>
      </c>
    </row>
    <row r="9" spans="1:7">
      <c r="A9" t="s">
        <v>3</v>
      </c>
      <c r="B9" t="s">
        <v>99</v>
      </c>
      <c r="C9" t="s">
        <v>151</v>
      </c>
      <c r="D9" s="14" t="s">
        <v>81</v>
      </c>
      <c r="E9" s="14" t="s">
        <v>81</v>
      </c>
      <c r="G9" s="16"/>
    </row>
    <row r="10" spans="1:7">
      <c r="A10" t="s">
        <v>56</v>
      </c>
      <c r="B10" t="s">
        <v>67</v>
      </c>
      <c r="C10" t="s">
        <v>148</v>
      </c>
      <c r="D10" s="14" t="s">
        <v>83</v>
      </c>
      <c r="E10" s="14" t="s">
        <v>81</v>
      </c>
      <c r="G10" s="15"/>
    </row>
    <row r="11" spans="1:7">
      <c r="A11" t="s">
        <v>57</v>
      </c>
      <c r="B11" t="s">
        <v>66</v>
      </c>
      <c r="C11" t="s">
        <v>149</v>
      </c>
      <c r="D11" s="14" t="s">
        <v>83</v>
      </c>
      <c r="E11" s="14" t="s">
        <v>81</v>
      </c>
      <c r="G11" s="15"/>
    </row>
    <row r="12" spans="1:7">
      <c r="A12" t="s">
        <v>15</v>
      </c>
      <c r="B12" t="s">
        <v>153</v>
      </c>
      <c r="C12" t="s">
        <v>101</v>
      </c>
      <c r="D12" s="14" t="s">
        <v>84</v>
      </c>
      <c r="E12" s="14" t="s">
        <v>109</v>
      </c>
    </row>
    <row r="13" spans="1:7">
      <c r="A13" t="s">
        <v>58</v>
      </c>
      <c r="B13" t="s">
        <v>73</v>
      </c>
      <c r="C13" t="s">
        <v>102</v>
      </c>
      <c r="D13" s="14" t="s">
        <v>86</v>
      </c>
      <c r="E13" s="14" t="s">
        <v>110</v>
      </c>
      <c r="G13" s="18"/>
    </row>
    <row r="14" spans="1:7">
      <c r="A14" s="21" t="s">
        <v>45</v>
      </c>
      <c r="B14" t="s">
        <v>78</v>
      </c>
      <c r="C14" t="s">
        <v>132</v>
      </c>
      <c r="D14" s="14" t="s">
        <v>85</v>
      </c>
      <c r="E14" s="14" t="s">
        <v>81</v>
      </c>
    </row>
    <row r="15" spans="1:7">
      <c r="A15" s="21" t="s">
        <v>21</v>
      </c>
      <c r="B15" t="s">
        <v>154</v>
      </c>
      <c r="C15" t="s">
        <v>133</v>
      </c>
      <c r="D15" s="14" t="s">
        <v>87</v>
      </c>
      <c r="E15" s="14" t="s">
        <v>81</v>
      </c>
    </row>
    <row r="16" spans="1:7">
      <c r="A16" t="s">
        <v>36</v>
      </c>
      <c r="B16" t="s">
        <v>68</v>
      </c>
      <c r="C16" t="s">
        <v>128</v>
      </c>
      <c r="D16" s="14" t="s">
        <v>86</v>
      </c>
      <c r="E16" s="14" t="s">
        <v>81</v>
      </c>
      <c r="G16" s="17"/>
    </row>
    <row r="17" spans="1:7">
      <c r="A17" s="21" t="s">
        <v>46</v>
      </c>
      <c r="B17" t="s">
        <v>69</v>
      </c>
      <c r="C17" t="s">
        <v>103</v>
      </c>
      <c r="D17" s="14" t="s">
        <v>88</v>
      </c>
      <c r="E17" s="14" t="s">
        <v>111</v>
      </c>
    </row>
    <row r="18" spans="1:7">
      <c r="A18" s="21" t="s">
        <v>35</v>
      </c>
      <c r="B18" t="s">
        <v>70</v>
      </c>
      <c r="C18" t="s">
        <v>104</v>
      </c>
      <c r="D18" s="14" t="s">
        <v>88</v>
      </c>
      <c r="E18" s="14" t="s">
        <v>112</v>
      </c>
    </row>
    <row r="19" spans="1:7">
      <c r="A19" t="s">
        <v>59</v>
      </c>
      <c r="B19" t="s">
        <v>71</v>
      </c>
      <c r="C19" t="s">
        <v>144</v>
      </c>
      <c r="D19" s="22" t="s">
        <v>89</v>
      </c>
      <c r="E19" s="14" t="s">
        <v>113</v>
      </c>
    </row>
    <row r="20" spans="1:7">
      <c r="A20" t="s">
        <v>60</v>
      </c>
      <c r="B20" t="s">
        <v>155</v>
      </c>
      <c r="C20" t="s">
        <v>145</v>
      </c>
      <c r="D20" s="22" t="s">
        <v>89</v>
      </c>
      <c r="E20" s="19" t="s">
        <v>114</v>
      </c>
    </row>
    <row r="21" spans="1:7">
      <c r="A21" s="21" t="s">
        <v>34</v>
      </c>
      <c r="B21" t="s">
        <v>72</v>
      </c>
      <c r="C21" t="s">
        <v>105</v>
      </c>
      <c r="D21" s="14" t="s">
        <v>85</v>
      </c>
      <c r="E21" s="14" t="s">
        <v>81</v>
      </c>
    </row>
    <row r="22" spans="1:7">
      <c r="A22" t="s">
        <v>37</v>
      </c>
      <c r="B22" t="s">
        <v>74</v>
      </c>
      <c r="C22" t="s">
        <v>106</v>
      </c>
      <c r="D22" s="14" t="s">
        <v>86</v>
      </c>
      <c r="E22" s="14" t="s">
        <v>81</v>
      </c>
    </row>
    <row r="23" spans="1:7">
      <c r="A23" t="s">
        <v>11</v>
      </c>
      <c r="B23" t="s">
        <v>75</v>
      </c>
      <c r="C23" t="s">
        <v>150</v>
      </c>
      <c r="D23" s="24" t="s">
        <v>140</v>
      </c>
      <c r="E23" s="14" t="s">
        <v>139</v>
      </c>
    </row>
    <row r="24" spans="1:7">
      <c r="A24" t="s">
        <v>61</v>
      </c>
      <c r="B24" t="s">
        <v>152</v>
      </c>
      <c r="C24" t="s">
        <v>107</v>
      </c>
      <c r="D24" s="25" t="s">
        <v>86</v>
      </c>
      <c r="E24" s="14" t="s">
        <v>81</v>
      </c>
      <c r="G24" s="17"/>
    </row>
    <row r="25" spans="1:7">
      <c r="A25" t="s">
        <v>62</v>
      </c>
      <c r="B25" t="s">
        <v>76</v>
      </c>
      <c r="C25" t="s">
        <v>108</v>
      </c>
      <c r="D25" s="25" t="s">
        <v>86</v>
      </c>
      <c r="E25" s="14" t="s">
        <v>81</v>
      </c>
    </row>
    <row r="26" spans="1:7">
      <c r="A26" t="s">
        <v>43</v>
      </c>
      <c r="B26" t="s">
        <v>77</v>
      </c>
      <c r="C26" t="s">
        <v>146</v>
      </c>
      <c r="D26" s="25" t="s">
        <v>86</v>
      </c>
      <c r="E26" s="14" t="s">
        <v>115</v>
      </c>
    </row>
    <row r="27" spans="1:7">
      <c r="A27" t="s">
        <v>44</v>
      </c>
      <c r="B27" t="s">
        <v>79</v>
      </c>
      <c r="C27" t="s">
        <v>147</v>
      </c>
      <c r="D27" s="25" t="s">
        <v>90</v>
      </c>
      <c r="E27" s="14" t="s">
        <v>116</v>
      </c>
    </row>
    <row r="28" spans="1:7">
      <c r="A28" t="s">
        <v>47</v>
      </c>
      <c r="B28" t="s">
        <v>80</v>
      </c>
      <c r="C28" t="s">
        <v>129</v>
      </c>
      <c r="D28" s="25" t="s">
        <v>91</v>
      </c>
      <c r="E28" s="14" t="s">
        <v>117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F04B-F3AC-483F-8894-CC743E5BBC24}">
  <dimension ref="A1:C9"/>
  <sheetViews>
    <sheetView tabSelected="1" workbookViewId="0">
      <selection activeCell="B24" sqref="B24"/>
    </sheetView>
  </sheetViews>
  <sheetFormatPr defaultRowHeight="15"/>
  <cols>
    <col min="1" max="1" width="19.42578125" bestFit="1" customWidth="1"/>
    <col min="2" max="2" width="233.85546875" bestFit="1" customWidth="1"/>
    <col min="3" max="3" width="31.140625" bestFit="1" customWidth="1"/>
  </cols>
  <sheetData>
    <row r="1" spans="1:3">
      <c r="A1" t="s">
        <v>48</v>
      </c>
      <c r="B1" t="s">
        <v>100</v>
      </c>
      <c r="C1" t="s">
        <v>118</v>
      </c>
    </row>
    <row r="2" spans="1:3">
      <c r="A2" t="s">
        <v>119</v>
      </c>
      <c r="B2" t="s">
        <v>130</v>
      </c>
      <c r="C2" t="s">
        <v>84</v>
      </c>
    </row>
    <row r="3" spans="1:3">
      <c r="A3" t="s">
        <v>120</v>
      </c>
      <c r="B3" t="s">
        <v>141</v>
      </c>
      <c r="C3" t="s">
        <v>131</v>
      </c>
    </row>
    <row r="4" spans="1:3">
      <c r="A4" t="s">
        <v>121</v>
      </c>
      <c r="B4" t="s">
        <v>143</v>
      </c>
      <c r="C4" t="s">
        <v>127</v>
      </c>
    </row>
    <row r="5" spans="1:3">
      <c r="A5" t="s">
        <v>122</v>
      </c>
      <c r="B5" s="21" t="s">
        <v>142</v>
      </c>
      <c r="C5" t="s">
        <v>126</v>
      </c>
    </row>
    <row r="6" spans="1:3">
      <c r="A6" t="s">
        <v>123</v>
      </c>
      <c r="B6" t="s">
        <v>134</v>
      </c>
      <c r="C6" t="s">
        <v>137</v>
      </c>
    </row>
    <row r="7" spans="1:3">
      <c r="A7" t="s">
        <v>124</v>
      </c>
      <c r="B7" t="s">
        <v>149</v>
      </c>
      <c r="C7" s="23" t="s">
        <v>83</v>
      </c>
    </row>
    <row r="8" spans="1:3">
      <c r="A8" t="s">
        <v>125</v>
      </c>
      <c r="B8" t="s">
        <v>156</v>
      </c>
      <c r="C8" s="23" t="s">
        <v>138</v>
      </c>
    </row>
    <row r="9" spans="1:3">
      <c r="A9" t="s">
        <v>135</v>
      </c>
      <c r="B9" t="s">
        <v>136</v>
      </c>
      <c r="C9" s="23" t="s">
        <v>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example_of_oxygen_calucations </vt:lpstr>
      <vt:lpstr>main_tab </vt:lpstr>
      <vt:lpstr>configuration_tab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Reisa</dc:creator>
  <cp:lastModifiedBy>Caitlin Reisa</cp:lastModifiedBy>
  <dcterms:created xsi:type="dcterms:W3CDTF">2025-05-01T19:36:40Z</dcterms:created>
  <dcterms:modified xsi:type="dcterms:W3CDTF">2025-12-19T21:04:03Z</dcterms:modified>
</cp:coreProperties>
</file>